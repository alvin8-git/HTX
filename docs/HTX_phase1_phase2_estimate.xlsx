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00" activeTab="1"/>
  </bookViews>
  <sheets>
    <sheet name="Summary" sheetId="1" r:id="rId1"/>
    <sheet name="Phase 2" sheetId="3"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<sst xmlns="http://schemas.openxmlformats.org/spreadsheetml/2006/main" count="47" uniqueCount="43">
  <si>
    <t>HTX biosurveillance — effort summary</t>
  </si>
  <si>
    <t>Phase</t>
  </si>
  <si>
    <t>Hours</t>
  </si>
  <si>
    <t>Mid-point</t>
  </si>
  <si>
    <t>Phase 1 — already built</t>
  </si>
  <si>
    <t>Phase 1 — remaining</t>
  </si>
  <si>
    <t>Phase 2 — platform, RNA, tracking, forecasting</t>
  </si>
  <si>
    <t>TOTAL, both phases</t>
  </si>
  <si>
    <t/>
  </si>
  <si>
    <t>Not costed anywhere in this workbook</t>
  </si>
  <si>
    <t xml:space="preserve">   • Laboratory development for RNA coverage: reagents, protocol work and instrument time. This may exceed the analysis effort attached to it and is the largest single risk to the estimate.</t>
  </si>
  <si>
    <t xml:space="preserve">   • Sequencing consumables and instrument time for revalidation runs.</t>
  </si>
  <si>
    <t xml:space="preserve">   • Hardware. Compute is modest and storage is trivial.</t>
  </si>
  <si>
    <t xml:space="preserve">   • Accreditation or regulatory submission, if it is ever required. That is its own programme.</t>
  </si>
  <si>
    <t>How to read the "already built" figure</t>
  </si>
  <si>
    <t xml:space="preserve">   It is replacement value, not spend. The work was done with heavy AI assistance, so the actual time taken was a fraction of it. The figure answers "what would this have cost to build ""conventionally" — the right number for valuing the asset or for a build-versus-buy comparison. It is not a timesheet.</t>
  </si>
  <si>
    <t>Two things that will move these numbers</t>
  </si>
  <si>
    <t xml:space="preserve">   1. Filling in the blank collection date, site and run ID costs under a day and unblocks roughly half of Phase 2. It has to be done before the next samples are collected.</t>
  </si>
  <si>
    <t xml:space="preserve">   2. About half of Phase 2 is not scientific work. Costing all of it at a senior scientist rate both overstates the budget and understates the risk.</t>
  </si>
  <si>
    <t>Item-by-item detail: docs/phase1_triage_scope.md. Rates and money: docs/effort_and_cost_estimate.md.</t>
  </si>
  <si>
    <t>Phase 2 — hosted platform, RNA, tracking over time, forecasting</t>
  </si>
  <si>
    <t>Everything that turns the script into a running surveillance service, plus the RNA coverage the current assay cannot provide. All of it is new build.</t>
  </si>
  <si>
    <t>Item</t>
  </si>
  <si>
    <t>Description</t>
  </si>
  <si>
    <t>RNA virus coverage</t>
  </si>
  <si>
    <t>The assay currently reads DNA only, so 25 of 46 priority agents — including most of the viruses — are invisible to it. This is the single largest gain in capability in the whole programme. It also depends on laboratory work that is not costed here and may exceed the analysis effort.</t>
  </si>
  <si>
    <t>120–200</t>
  </si>
  <si>
    <t>Central database and automatic processing</t>
  </si>
  <si>
    <t>Every analysed sample, verdict and piece of evidence stored in one place, with a full record of which version of the rules produced it. New sequencing runs are picked up and analysed without anyone typing a command, and jobs are queued so a busy day does not overwhelm the machine.</t>
  </si>
  <si>
    <t>260–380</t>
  </si>
  <si>
    <t>Managing dashboard</t>
  </si>
  <si>
    <t>The screen an analyst opens each morning: every sample processed, the verdict breakdown, the sites being watched, and a click-through into any individual report.</t>
  </si>
  <si>
    <t>180–270</t>
  </si>
  <si>
    <t>Tracking sites over time, and forecasting</t>
  </si>
  <si>
    <t>Same site, repeated visits: is this organism new, is it growing, or has it always been there? Includes correcting for the fact that separate sequencing runs are not directly comparable, and turning the history into a forward signal that flags a reading outside the expected range.</t>
  </si>
  <si>
    <t>180–280</t>
  </si>
  <si>
    <t>Security, hosting and reliability</t>
  </si>
  <si>
    <t>Who may see what, a tamper-evident record of who looked at or changed anything, the system watching its own health, and standing it up, backing it up and proving it can be restored.</t>
  </si>
  <si>
    <t>200–320</t>
  </si>
  <si>
    <t>Validation, documentation and training</t>
  </si>
  <si>
    <t>Acceptance testing of the whole platform rather than just the script, plus operator and analyst material. The long pole, and the line most often cut — cutting it moves the cost to the first incident.</t>
  </si>
  <si>
    <t>230–370</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</si>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</sst>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4"/>
      <color rgb="FF00539B"/>
      <name val="Calibri"/>
      <charset val="134"/>
      <scheme val="minor"/>
    </font>
    <font>
      <b/>
      <sz val="11"/>
      <color rgb="FFFFFFFF"/>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539B"/>
        <bgColor indexed="64"/>
      </patternFill>
    </fill>
    <fill>
      <patternFill patternType="solid">
        <fgColor rgb="FFED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0">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top" wrapText="1"/>
    </xf>
    <xf numFmtId="0" fontId="0" fillId="0" borderId="1" xfId="0" applyBorder="1" applyAlignment="1">
      <alignment vertical="top" wrapText="1"/>
    </xf>
    <xf numFmtId="0" fontId="0" fillId="0" borderId="1" xfId="0" applyBorder="1" applyAlignment="1">
      <alignment horizontal="center" vertical="top"/>
    </xf>
    <xf numFmtId="0" fontId="3" fillId="3" borderId="0" xfId="0" applyFont="1" applyFill="1"/>
    <xf numFmtId="0" fontId="0" fillId="3" borderId="0" xfId="0" applyFill="1"/>
    <xf numFmtId="0" fontId="2" fillId="2" borderId="0" xfId="0" applyFont="1" applyFill="1"/>
    <xf numFmtId="0" fontId="3"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vin\Desktop\HTX_Bioinfo_Phase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hase 1"/>
    </sheetNames>
    <sheetDataSet>
      <sheetData sheetId="0">
        <row r="7">
          <cell r="D7">
            <v>95</v>
          </cell>
          <cell r="E7">
            <v>130</v>
          </cell>
        </row>
        <row r="8">
          <cell r="D8">
            <v>165</v>
          </cell>
          <cell r="E8">
            <v>225</v>
          </cell>
        </row>
        <row r="9">
          <cell r="D9">
            <v>85</v>
          </cell>
          <cell r="E9">
            <v>120</v>
          </cell>
        </row>
        <row r="10">
          <cell r="D10">
            <v>105</v>
          </cell>
          <cell r="E10">
            <v>155</v>
          </cell>
        </row>
        <row r="11">
          <cell r="D11">
            <v>75</v>
          </cell>
          <cell r="E11">
            <v>120</v>
          </cell>
        </row>
        <row r="12">
          <cell r="D12">
            <v>65</v>
          </cell>
          <cell r="E12">
            <v>100</v>
          </cell>
        </row>
        <row r="16">
          <cell r="D16">
            <v>44</v>
          </cell>
          <cell r="E16">
            <v>78</v>
          </cell>
        </row>
        <row r="17">
          <cell r="D17">
            <v>20</v>
          </cell>
          <cell r="E17">
            <v>40</v>
          </cell>
        </row>
        <row r="18">
          <cell r="D18">
            <v>60</v>
          </cell>
          <cell r="E18">
            <v>100</v>
          </cell>
        </row>
        <row r="19">
          <cell r="D19">
            <v>45</v>
          </cell>
          <cell r="E19">
            <v>75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A1" sqref="A1"/>
    </sheetView>
  </sheetViews>
  <sheetFormatPr defaultColWidth="9" defaultRowHeight="14.5" outlineLevelCol="4"/>
  <cols>
    <col min="1" max="1" width="52" customWidth="1"/>
    <col min="2" max="2" width="16" customWidth="1"/>
    <col min="3" max="3" width="12" customWidth="1"/>
    <col min="4" max="5" width="13" hidden="1" customWidth="1"/>
  </cols>
  <sheetData>
    <row r="1" ht="18.5" spans="1:5">
      <c r="A1" s="1" t="s">
        <v>0</v>
      </c>
    </row>
    <row r="3" spans="1:5">
      <c r="A3" s="8" t="s">
        <v>1</v>
      </c>
      <c r="B3" s="8" t="s">
        <v>2</v>
      </c>
      <c r="C3" s="8" t="s">
        <v>3</v>
      </c>
    </row>
    <row r="4" spans="1:5">
      <c r="A4" t="s">
        <v>4</v>
      </c>
      <c r="B4" t="str">
        <f>D4&amp;"–"&amp;E4</f>
        <v>590–850</v>
      </c>
      <c r="C4">
        <f>ROUND(AVERAGE(D4:E4),0)</f>
        <v>720</v>
      </c>
      <c r="D4">
        <f>SUM('[1]Phase 1'!D7:D12)</f>
        <v>590</v>
      </c>
      <c r="E4">
        <f>SUM('[1]Phase 1'!E7:E12)</f>
        <v>850</v>
      </c>
    </row>
    <row r="5" spans="1:5">
      <c r="A5" t="s">
        <v>5</v>
      </c>
      <c r="B5" t="str">
        <f>D5&amp;"–"&amp;E5</f>
        <v>169–293</v>
      </c>
      <c r="C5">
        <f>ROUND(AVERAGE(D5:E5),0)</f>
        <v>231</v>
      </c>
      <c r="D5">
        <f>SUM('[1]Phase 1'!D16:D19)</f>
        <v>169</v>
      </c>
      <c r="E5">
        <f>SUM('[1]Phase 1'!E16:E19)</f>
        <v>293</v>
      </c>
    </row>
    <row r="6" spans="1:5">
      <c r="A6" t="s">
        <v>6</v>
      </c>
      <c r="B6" t="str">
        <f>D6&amp;"–"&amp;E6</f>
        <v>1170–1820</v>
      </c>
      <c r="C6">
        <f>ROUND(AVERAGE(D6:E6),0)</f>
        <v>1495</v>
      </c>
      <c r="D6">
        <f>SUM('Phase 2'!D5:D10)</f>
        <v>1170</v>
      </c>
      <c r="E6">
        <f>SUM('Phase 2'!E5:E10)</f>
        <v>1820</v>
      </c>
    </row>
    <row r="7" spans="1:5">
      <c r="A7" s="6" t="s">
        <v>7</v>
      </c>
      <c r="B7" s="6" t="str">
        <f>D7&amp;"–"&amp;E7</f>
        <v>1929–2963</v>
      </c>
      <c r="C7" s="6">
        <f>ROUND(AVERAGE(D7:E7),0)</f>
        <v>2446</v>
      </c>
      <c r="D7">
        <f>SUM(D4:D6)</f>
        <v>1929</v>
      </c>
      <c r="E7">
        <f>SUM(E4:E6)</f>
        <v>2963</v>
      </c>
    </row>
    <row r="9" spans="1:5">
      <c r="A9" s="2" t="s">
        <v>8</v>
      </c>
    </row>
    <row r="10" spans="1:5">
      <c r="A10" s="9" t="s">
        <v>9</v>
      </c>
    </row>
    <row r="11" ht="32" customHeight="1" spans="1:5">
      <c r="A11" s="2" t="s">
        <v>10</v>
      </c>
    </row>
    <row r="12" ht="32" customHeight="1" spans="1:5">
      <c r="A12" s="2" t="s">
        <v>11</v>
      </c>
    </row>
    <row r="13" ht="32" customHeight="1" spans="1:5">
      <c r="A13" s="2" t="s">
        <v>12</v>
      </c>
    </row>
    <row r="14" ht="32" customHeight="1" spans="1:5">
      <c r="A14" s="2" t="s">
        <v>13</v>
      </c>
    </row>
    <row r="15" spans="1:5">
      <c r="A15" s="2" t="s">
        <v>8</v>
      </c>
    </row>
    <row r="16" spans="1:5">
      <c r="A16" s="9" t="s">
        <v>14</v>
      </c>
    </row>
    <row r="17" ht="32" customHeight="1" spans="1:1">
      <c r="A17" s="2" t="s">
        <v>15</v>
      </c>
    </row>
    <row r="18" spans="1:1">
      <c r="A18" s="2" t="s">
        <v>8</v>
      </c>
    </row>
    <row r="19" spans="1:1">
      <c r="A19" s="9" t="s">
        <v>16</v>
      </c>
    </row>
    <row r="20" ht="32" customHeight="1" spans="1:1">
      <c r="A20" s="2" t="s">
        <v>17</v>
      </c>
    </row>
    <row r="21" ht="32" customHeight="1" spans="1:1">
      <c r="A21" s="2" t="s">
        <v>18</v>
      </c>
    </row>
    <row r="22" spans="1:1">
      <c r="A22" s="2" t="s">
        <v>8</v>
      </c>
    </row>
    <row r="23" spans="1:1">
      <c r="A23" s="9" t="s">
        <v>19</v>
      </c>
    </row>
  </sheetData>
  <mergeCells count="15">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abSelected="1" workbookViewId="0">
      <pane ySplit="4" topLeftCell="A5" activePane="bottomLeft" state="frozen"/>
      <selection/>
      <selection pane="bottomLeft" activeCell="A1" sqref="A1"/>
    </sheetView>
  </sheetViews>
  <sheetFormatPr defaultColWidth="9" defaultRowHeight="14.5" outlineLevelCol="4"/>
  <cols>
    <col min="1" max="1" width="34" customWidth="1"/>
    <col min="2" max="2" width="88" customWidth="1"/>
    <col min="3" max="3" width="12" customWidth="1"/>
    <col min="4" max="5" width="13" hidden="1" customWidth="1"/>
  </cols>
  <sheetData>
    <row r="1" ht="18.5" spans="1:5">
      <c r="A1" s="1" t="s">
        <v>20</v>
      </c>
    </row>
    <row r="2" ht="45" customHeight="1" spans="1:5">
      <c r="A2" s="2" t="s">
        <v>21</v>
      </c>
    </row>
    <row r="4" spans="1:5">
      <c r="A4" s="3" t="s">
        <v>22</v>
      </c>
      <c r="B4" s="3" t="s">
        <v>23</v>
      </c>
      <c r="C4" s="3" t="s">
        <v>2</v>
      </c>
    </row>
    <row r="5" ht="62" customHeight="1" spans="1:5">
      <c r="A5" s="4" t="s">
        <v>24</v>
      </c>
      <c r="B5" s="4" t="s">
        <v>25</v>
      </c>
      <c r="C5" s="5" t="s">
        <v>26</v>
      </c>
      <c r="D5">
        <v>120</v>
      </c>
      <c r="E5">
        <v>200</v>
      </c>
    </row>
    <row r="6" ht="62" customHeight="1" spans="1:5">
      <c r="A6" s="4" t="s">
        <v>27</v>
      </c>
      <c r="B6" s="4" t="s">
        <v>28</v>
      </c>
      <c r="C6" s="5" t="s">
        <v>29</v>
      </c>
      <c r="D6">
        <v>260</v>
      </c>
      <c r="E6">
        <v>380</v>
      </c>
    </row>
    <row r="7" ht="62" customHeight="1" spans="1:5">
      <c r="A7" s="4" t="s">
        <v>30</v>
      </c>
      <c r="B7" s="4" t="s">
        <v>31</v>
      </c>
      <c r="C7" s="5" t="s">
        <v>32</v>
      </c>
      <c r="D7">
        <v>180</v>
      </c>
      <c r="E7">
        <v>270</v>
      </c>
    </row>
    <row r="8" ht="62" customHeight="1" spans="1:5">
      <c r="A8" s="4" t="s">
        <v>33</v>
      </c>
      <c r="B8" s="4" t="s">
        <v>34</v>
      </c>
      <c r="C8" s="5" t="s">
        <v>35</v>
      </c>
      <c r="D8">
        <v>180</v>
      </c>
      <c r="E8">
        <v>280</v>
      </c>
    </row>
    <row r="9" ht="62" customHeight="1" spans="1:5">
      <c r="A9" s="4" t="s">
        <v>36</v>
      </c>
      <c r="B9" s="4" t="s">
        <v>37</v>
      </c>
      <c r="C9" s="5" t="s">
        <v>38</v>
      </c>
      <c r="D9">
        <v>200</v>
      </c>
      <c r="E9">
        <v>320</v>
      </c>
    </row>
    <row r="10" ht="62" customHeight="1" spans="1:5">
      <c r="A10" s="4" t="s">
        <v>39</v>
      </c>
      <c r="B10" s="4" t="s">
        <v>40</v>
      </c>
      <c r="C10" s="5" t="s">
        <v>41</v>
      </c>
      <c r="D10">
        <v>230</v>
      </c>
      <c r="E10">
        <v>370</v>
      </c>
    </row>
    <row r="11" spans="1:5">
      <c r="A11" s="6" t="s">
        <v>42</v>
      </c>
      <c r="B11" s="7"/>
      <c r="C11" s="6" t="str">
        <f>D11&amp;"–"&amp;E11</f>
        <v>1170–1820</v>
      </c>
      <c r="D11">
        <f>SUM(D5:D10)</f>
        <v>1170</v>
      </c>
      <c r="E11">
        <f>SUM(E5:E10)</f>
        <v>1820</v>
      </c>
    </row>
  </sheetData>
  <mergeCells count="1">
    <mergeCell ref="A2: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Summary</vt:lpstr>
      <vt:lpstr>Phase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Jin Alvin Ng</cp:lastModifiedBy>
  <dcterms:created xsi:type="dcterms:W3CDTF">2026-08-21T01:18:00Z</dcterms:created>
  <dcterms:modified xsi:type="dcterms:W3CDTF">2026-08-21T01:37:41Z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D09A15D9707A49FB8DC63B17067D4CD8_12</vt:lpwstr>
  </property>
  <property fmtid="{D5CDD505-2E9C-101B-9397-08002B2CF9AE}" pid="3" name="KSOProductBuildVer">
    <vt:lpwstr>1033-12.1.0.26885</vt:lpwstr>
  </property>
  <property fmtid="{D5CDD505-2E9C-101B-9397-08002B2CF9AE}" pid="4" name="CalculationRule">
    <vt:i4>0</vt:i4>
  </property>
</Properties>
</file>